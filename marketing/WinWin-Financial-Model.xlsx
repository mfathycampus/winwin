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رضيات" sheetId="1" state="visible" r:id="rId1"/>
    <sheet name="النموذج" sheetId="2" state="visible" r:id="rId2"/>
    <sheet name="التحليل" sheetId="3" state="visible" r:id="rId3"/>
    <sheet name="الحساسية" sheetId="4" state="visible" r:id="rId4"/>
    <sheet name="الاقتصاد الوحدوي" sheetId="5" state="visible" r:id="rId5"/>
    <sheet name="التوقعات الشهرية" sheetId="6" state="visible" r:id="rId6"/>
    <sheet name="التمويل والعائد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0.0%;(0.0%);-"/>
    <numFmt numFmtId="166" formatCode="0.0"/>
    <numFmt numFmtId="167" formatCode="0.0x"/>
    <numFmt numFmtId="168" formatCode="#,##0;(#,##0)"/>
  </numFmts>
  <fonts count="15">
    <font>
      <name val="Calibri"/>
      <family val="2"/>
      <color theme="1"/>
      <sz val="11"/>
      <scheme val="minor"/>
    </font>
    <font>
      <name val="Arial"/>
      <b val="1"/>
      <color rgb="000E2254"/>
      <sz val="15"/>
    </font>
    <font>
      <name val="Arial"/>
      <color rgb="00777777"/>
      <sz val="9"/>
    </font>
    <font>
      <name val="Arial"/>
      <b val="1"/>
      <color rgb="001B8A4A"/>
      <sz val="12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000000"/>
      <sz val="11"/>
    </font>
    <font>
      <name val="Arial"/>
      <b val="1"/>
      <color rgb="001B8A4A"/>
      <sz val="11"/>
    </font>
    <font>
      <name val="Arial"/>
      <b val="1"/>
      <color rgb="00FFFFFF"/>
      <sz val="11"/>
    </font>
    <font>
      <name val="Arial"/>
      <color rgb="00008000"/>
      <sz val="11"/>
    </font>
    <font>
      <name val="Arial"/>
      <b val="1"/>
      <color rgb="000E2254"/>
      <sz val="11"/>
    </font>
    <font>
      <name val="Arial"/>
      <color rgb="001B8A4A"/>
      <sz val="11"/>
    </font>
    <font>
      <name val="Arial"/>
      <color rgb="00777777"/>
      <sz val="11"/>
    </font>
    <font>
      <name val="Arial"/>
      <b val="1"/>
      <color rgb="00FFFFFF"/>
    </font>
    <font>
      <name val="Arial"/>
      <b val="1"/>
      <color rgb="000E2254"/>
      <sz val="10"/>
    </font>
  </fonts>
  <fills count="6">
    <fill>
      <patternFill/>
    </fill>
    <fill>
      <patternFill patternType="gray125"/>
    </fill>
    <fill>
      <patternFill patternType="solid">
        <fgColor rgb="00EEF4F1"/>
      </patternFill>
    </fill>
    <fill>
      <patternFill patternType="solid">
        <fgColor rgb="00FFF6D6"/>
      </patternFill>
    </fill>
    <fill>
      <patternFill patternType="solid">
        <fgColor rgb="000E2254"/>
      </patternFill>
    </fill>
    <fill>
      <patternFill patternType="solid">
        <fgColor rgb="00E9EEF5"/>
      </patternFill>
    </fill>
  </fills>
  <borders count="2">
    <border>
      <left/>
      <right/>
      <top/>
      <bottom/>
      <diagonal/>
    </border>
    <border>
      <left style="thin">
        <color rgb="00B4C4BC"/>
      </left>
      <right style="thin">
        <color rgb="00B4C4BC"/>
      </right>
      <top style="thin">
        <color rgb="00B4C4BC"/>
      </top>
      <bottom style="thin">
        <color rgb="00B4C4B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3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4" fillId="0" borderId="0" applyAlignment="1" pivotButton="0" quotePrefix="0" xfId="0">
      <alignment horizontal="right" vertical="center" readingOrder="2"/>
    </xf>
    <xf numFmtId="3" fontId="5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 readingOrder="2"/>
    </xf>
    <xf numFmtId="165" fontId="7" fillId="0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readingOrder="2"/>
    </xf>
    <xf numFmtId="0" fontId="4" fillId="0" borderId="1" applyAlignment="1" pivotButton="0" quotePrefix="0" xfId="0">
      <alignment horizontal="right" vertical="center" readingOrder="2"/>
    </xf>
    <xf numFmtId="164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 readingOrder="2"/>
    </xf>
    <xf numFmtId="164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 readingOrder="2"/>
    </xf>
    <xf numFmtId="164" fontId="7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right" vertical="center" readingOrder="2"/>
    </xf>
    <xf numFmtId="164" fontId="6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 readingOrder="2"/>
    </xf>
    <xf numFmtId="164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readingOrder="2"/>
    </xf>
    <xf numFmtId="0" fontId="13" fillId="4" borderId="1" applyAlignment="1" pivotButton="0" quotePrefix="0" xfId="0">
      <alignment horizontal="center" vertical="center" readingOrder="2"/>
    </xf>
    <xf numFmtId="167" fontId="5" fillId="3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165" fontId="10" fillId="5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64" fontId="10" fillId="2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 readingOrder="2"/>
    </xf>
    <xf numFmtId="164" fontId="10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readingOrder="2"/>
    </xf>
    <xf numFmtId="168" fontId="6" fillId="0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WINوWIN</author>
  </authors>
  <commentList>
    <comment ref="B17" authorId="0" shapeId="0">
      <text>
        <t>= (نسبة الحملات×عمولتها) + (نسبة الجلسات×عمولتها) = 0.70×5% + 0.30×15% = 8%</t>
      </text>
    </comment>
    <comment ref="B21" authorId="0" shapeId="0">
      <text>
        <t>يغطي: تأسيس 250 ألف + تمويل خسائر أول سنتين (~890 ألف) + احتياطي ~60 ألف</t>
      </text>
    </comment>
  </commentList>
</comments>
</file>

<file path=xl/comments/comment2.xml><?xml version="1.0" encoding="utf-8"?>
<comments xmlns="http://schemas.openxmlformats.org/spreadsheetml/2006/main">
  <authors>
    <author>WINوWIN</author>
  </authors>
  <commentList>
    <comment ref="C5" authorId="0" shapeId="0">
      <text>
        <t>خسائر السنتين 1-2 ممولة أصلاً من الاستثمار المضخوخ في السنة 0</t>
      </text>
    </comment>
    <comment ref="B11" authorId="0" shapeId="0">
      <text>
        <t>التراكمي يتحول موجباً خلال السنة 4: 3 سنوات + (400,000 ÷ 1,800,000)</t>
      </text>
    </comment>
  </commentList>
</comments>
</file>

<file path=xl/comments/comment3.xml><?xml version="1.0" encoding="utf-8"?>
<comments xmlns="http://schemas.openxmlformats.org/spreadsheetml/2006/main">
  <authors>
    <author>WINوWIN</author>
  </authors>
  <commentList>
    <comment ref="B6" authorId="0" shapeId="0">
      <text>
        <t>نمو عضوي + إحالة → تكلفة منخفضة</t>
      </text>
    </comment>
    <comment ref="C6" authorId="0" shapeId="0">
      <text>
        <t>جهد مبيعات مباشر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الفرضيات — محرّكات النموذج المالي</t>
        </is>
      </c>
    </row>
    <row r="2">
      <c r="A2" s="2" t="inlineStr">
        <is>
          <t>الخلايا الزرقاء = مدخلات قابلة للتعديل  ·  الأسود = معادلات</t>
        </is>
      </c>
    </row>
    <row r="4">
      <c r="A4" s="3" t="inlineStr">
        <is>
          <t>أولاً: محرّكات الإيراد</t>
        </is>
      </c>
      <c r="B4" s="4" t="n"/>
    </row>
    <row r="5">
      <c r="A5" s="5" t="inlineStr">
        <is>
          <t>عدد البراندات — السنة 1</t>
        </is>
      </c>
      <c r="B5" s="6" t="n">
        <v>50</v>
      </c>
    </row>
    <row r="6">
      <c r="A6" s="5" t="inlineStr">
        <is>
          <t>متوسط الإنفاق السنوي للبراند (ريال)</t>
        </is>
      </c>
      <c r="B6" s="7" t="n">
        <v>80000</v>
      </c>
    </row>
    <row r="7">
      <c r="A7" s="5" t="inlineStr">
        <is>
          <t>إجمالي قيمة المنشورات GMV — السنة 1</t>
        </is>
      </c>
      <c r="B7" s="8">
        <f>B5*B6</f>
        <v/>
      </c>
    </row>
    <row r="8">
      <c r="A8" s="5" t="inlineStr">
        <is>
          <t>نمو GMV — السنة 2</t>
        </is>
      </c>
      <c r="B8" s="9" t="n">
        <v>3.5</v>
      </c>
    </row>
    <row r="9">
      <c r="A9" s="5" t="inlineStr">
        <is>
          <t>نمو GMV — السنة 3</t>
        </is>
      </c>
      <c r="B9" s="9" t="n">
        <v>1.5</v>
      </c>
    </row>
    <row r="10">
      <c r="A10" s="5" t="inlineStr">
        <is>
          <t>نمو GMV — السنة 4</t>
        </is>
      </c>
      <c r="B10" s="9" t="n">
        <v>0.6667</v>
      </c>
    </row>
    <row r="11">
      <c r="A11" s="5" t="inlineStr">
        <is>
          <t>نمو GMV — السنة 5</t>
        </is>
      </c>
      <c r="B11" s="9" t="n">
        <v>0.58</v>
      </c>
    </row>
    <row r="13">
      <c r="A13" s="3" t="inlineStr">
        <is>
          <t>ثانياً: العمولة (Take Rate)</t>
        </is>
      </c>
      <c r="B13" s="4" t="n"/>
    </row>
    <row r="14">
      <c r="A14" s="5" t="inlineStr">
        <is>
          <t>نسبة الحملات العادية من الحجم</t>
        </is>
      </c>
      <c r="B14" s="9" t="n">
        <v>0.7</v>
      </c>
    </row>
    <row r="15">
      <c r="A15" s="5" t="inlineStr">
        <is>
          <t>عمولة الحملات العادية</t>
        </is>
      </c>
      <c r="B15" s="9" t="n">
        <v>0.05</v>
      </c>
    </row>
    <row r="16">
      <c r="A16" s="5" t="inlineStr">
        <is>
          <t>عمولة جلسات البث المباشر</t>
        </is>
      </c>
      <c r="B16" s="9" t="n">
        <v>0.15</v>
      </c>
    </row>
    <row r="17">
      <c r="A17" s="10" t="inlineStr">
        <is>
          <t>العمولة المجمّعة (المحسوبة)</t>
        </is>
      </c>
      <c r="B17" s="11">
        <f>B14*B15+(1-B14)*B16</f>
        <v/>
      </c>
    </row>
    <row r="19">
      <c r="A19" s="3" t="inlineStr">
        <is>
          <t>ثالثاً: الاستثمار والخصم</t>
        </is>
      </c>
      <c r="B19" s="4" t="n"/>
    </row>
    <row r="20">
      <c r="A20" s="5" t="inlineStr">
        <is>
          <t>التكاليف التأسيسية (السنة 0)</t>
        </is>
      </c>
      <c r="B20" s="7" t="n">
        <v>250000</v>
      </c>
    </row>
    <row r="21">
      <c r="A21" s="5" t="inlineStr">
        <is>
          <t>إجمالي الاستثمار المطلوب</t>
        </is>
      </c>
      <c r="B21" s="7" t="n">
        <v>1200000</v>
      </c>
    </row>
    <row r="22">
      <c r="A22" s="5" t="inlineStr">
        <is>
          <t>معدل الخصم (WACC)</t>
        </is>
      </c>
      <c r="B22" s="9" t="n">
        <v>0.12</v>
      </c>
    </row>
    <row r="24">
      <c r="A24" s="3" t="inlineStr">
        <is>
          <t>رابعاً: المصاريف السنوية (ريال)</t>
        </is>
      </c>
      <c r="B24" s="4" t="n"/>
      <c r="C24" s="4" t="n"/>
      <c r="D24" s="4" t="n"/>
      <c r="E24" s="4" t="n"/>
      <c r="F24" s="4" t="n"/>
    </row>
    <row r="25">
      <c r="A25" s="12" t="inlineStr">
        <is>
          <t>البند</t>
        </is>
      </c>
      <c r="B25" s="12" t="inlineStr">
        <is>
          <t>السنة 1</t>
        </is>
      </c>
      <c r="C25" s="12" t="inlineStr">
        <is>
          <t>السنة 2</t>
        </is>
      </c>
      <c r="D25" s="12" t="inlineStr">
        <is>
          <t>السنة 3</t>
        </is>
      </c>
      <c r="E25" s="12" t="inlineStr">
        <is>
          <t>السنة 4</t>
        </is>
      </c>
      <c r="F25" s="12" t="inlineStr">
        <is>
          <t>السنة 5</t>
        </is>
      </c>
    </row>
    <row r="26">
      <c r="A26" s="13" t="inlineStr">
        <is>
          <t>الرواتب</t>
        </is>
      </c>
      <c r="B26" s="14" t="n">
        <v>480000</v>
      </c>
      <c r="C26" s="14" t="n">
        <v>900000</v>
      </c>
      <c r="D26" s="14" t="n">
        <v>1500000</v>
      </c>
      <c r="E26" s="14" t="n">
        <v>2300000</v>
      </c>
      <c r="F26" s="14" t="n">
        <v>3400000</v>
      </c>
    </row>
    <row r="27">
      <c r="A27" s="13" t="inlineStr">
        <is>
          <t>التسويق</t>
        </is>
      </c>
      <c r="B27" s="14" t="n">
        <v>300000</v>
      </c>
      <c r="C27" s="14" t="n">
        <v>500000</v>
      </c>
      <c r="D27" s="14" t="n">
        <v>700000</v>
      </c>
      <c r="E27" s="14" t="n">
        <v>900000</v>
      </c>
      <c r="F27" s="14" t="n">
        <v>1300000</v>
      </c>
    </row>
    <row r="28">
      <c r="A28" s="13" t="inlineStr">
        <is>
          <t>البنية التحتية والـ SMS</t>
        </is>
      </c>
      <c r="B28" s="14" t="n">
        <v>60000</v>
      </c>
      <c r="C28" s="14" t="n">
        <v>180000</v>
      </c>
      <c r="D28" s="14" t="n">
        <v>350000</v>
      </c>
      <c r="E28" s="14" t="n">
        <v>550000</v>
      </c>
      <c r="F28" s="14" t="n">
        <v>900000</v>
      </c>
    </row>
    <row r="29">
      <c r="A29" s="13" t="inlineStr">
        <is>
          <t>مصاريف إدارية وقانونية</t>
        </is>
      </c>
      <c r="B29" s="14" t="n">
        <v>80000</v>
      </c>
      <c r="C29" s="14" t="n">
        <v>150000</v>
      </c>
      <c r="D29" s="14" t="n">
        <v>250000</v>
      </c>
      <c r="E29" s="14" t="n">
        <v>450000</v>
      </c>
      <c r="F29" s="14" t="n">
        <v>680000</v>
      </c>
    </row>
    <row r="30">
      <c r="A30" s="15" t="inlineStr">
        <is>
          <t>إجمالي المصاريف</t>
        </is>
      </c>
      <c r="B30" s="16">
        <f>SUM(B26:B29)</f>
        <v/>
      </c>
      <c r="C30" s="16">
        <f>SUM(C26:C29)</f>
        <v/>
      </c>
      <c r="D30" s="16">
        <f>SUM(D26:D29)</f>
        <v/>
      </c>
      <c r="E30" s="16">
        <f>SUM(E26:E29)</f>
        <v/>
      </c>
      <c r="F30" s="16">
        <f>SUM(F26:F29)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النموذج — قائمة الدخل المتوقعة (5 سنوات)</t>
        </is>
      </c>
    </row>
    <row r="2">
      <c r="A2" s="2" t="inlineStr">
        <is>
          <t>كل الأرقام بالريال السعودي، غير شاملة ضريبة القيمة المضافة (15%)</t>
        </is>
      </c>
    </row>
    <row r="3">
      <c r="A3" s="12" t="inlineStr">
        <is>
          <t>البند</t>
        </is>
      </c>
      <c r="B3" s="12" t="inlineStr">
        <is>
          <t>السنة 1</t>
        </is>
      </c>
      <c r="C3" s="12" t="inlineStr">
        <is>
          <t>السنة 2</t>
        </is>
      </c>
      <c r="D3" s="12" t="inlineStr">
        <is>
          <t>السنة 3</t>
        </is>
      </c>
      <c r="E3" s="12" t="inlineStr">
        <is>
          <t>السنة 4</t>
        </is>
      </c>
      <c r="F3" s="12" t="inlineStr">
        <is>
          <t>السنة 5</t>
        </is>
      </c>
    </row>
    <row r="4">
      <c r="A4" s="13" t="inlineStr">
        <is>
          <t>إجمالي قيمة المنشورات (GMV)</t>
        </is>
      </c>
      <c r="B4" s="8">
        <f>الفرضيات!B7</f>
        <v/>
      </c>
      <c r="C4" s="8">
        <f>B4*(1+الفرضيات!B8)</f>
        <v/>
      </c>
      <c r="D4" s="8">
        <f>C4*(1+الفرضيات!B9)</f>
        <v/>
      </c>
      <c r="E4" s="8">
        <f>D4*(1+الفرضيات!B10)</f>
        <v/>
      </c>
      <c r="F4" s="8">
        <f>E4*(1+الفرضيات!B11)</f>
        <v/>
      </c>
    </row>
    <row r="5">
      <c r="A5" s="17" t="inlineStr">
        <is>
          <t>إيراد المنصة (عمولة)</t>
        </is>
      </c>
      <c r="B5" s="18">
        <f>B4*الفرضيات!$B$17</f>
        <v/>
      </c>
      <c r="C5" s="18">
        <f>C4*الفرضيات!$B$17</f>
        <v/>
      </c>
      <c r="D5" s="18">
        <f>D4*الفرضيات!$B$17</f>
        <v/>
      </c>
      <c r="E5" s="18">
        <f>E4*الفرضيات!$B$17</f>
        <v/>
      </c>
      <c r="F5" s="18">
        <f>F4*الفرضيات!$B$17</f>
        <v/>
      </c>
    </row>
    <row r="7">
      <c r="A7" s="5" t="inlineStr">
        <is>
          <t>الرواتب</t>
        </is>
      </c>
      <c r="B7" s="19">
        <f>الفرضيات!B26</f>
        <v/>
      </c>
      <c r="C7" s="19">
        <f>الفرضيات!C26</f>
        <v/>
      </c>
      <c r="D7" s="19">
        <f>الفرضيات!D26</f>
        <v/>
      </c>
      <c r="E7" s="19">
        <f>الفرضيات!E26</f>
        <v/>
      </c>
      <c r="F7" s="19">
        <f>الفرضيات!F26</f>
        <v/>
      </c>
    </row>
    <row r="8">
      <c r="A8" s="5" t="inlineStr">
        <is>
          <t>التسويق</t>
        </is>
      </c>
      <c r="B8" s="19">
        <f>الفرضيات!B27</f>
        <v/>
      </c>
      <c r="C8" s="19">
        <f>الفرضيات!C27</f>
        <v/>
      </c>
      <c r="D8" s="19">
        <f>الفرضيات!D27</f>
        <v/>
      </c>
      <c r="E8" s="19">
        <f>الفرضيات!E27</f>
        <v/>
      </c>
      <c r="F8" s="19">
        <f>الفرضيات!F27</f>
        <v/>
      </c>
    </row>
    <row r="9">
      <c r="A9" s="5" t="inlineStr">
        <is>
          <t>البنية والـ SMS</t>
        </is>
      </c>
      <c r="B9" s="19">
        <f>الفرضيات!B28</f>
        <v/>
      </c>
      <c r="C9" s="19">
        <f>الفرضيات!C28</f>
        <v/>
      </c>
      <c r="D9" s="19">
        <f>الفرضيات!D28</f>
        <v/>
      </c>
      <c r="E9" s="19">
        <f>الفرضيات!E28</f>
        <v/>
      </c>
      <c r="F9" s="19">
        <f>الفرضيات!F28</f>
        <v/>
      </c>
    </row>
    <row r="10">
      <c r="A10" s="5" t="inlineStr">
        <is>
          <t>مصاريف إدارية وقانونية</t>
        </is>
      </c>
      <c r="B10" s="19">
        <f>الفرضيات!B29</f>
        <v/>
      </c>
      <c r="C10" s="19">
        <f>الفرضيات!C29</f>
        <v/>
      </c>
      <c r="D10" s="19">
        <f>الفرضيات!D29</f>
        <v/>
      </c>
      <c r="E10" s="19">
        <f>الفرضيات!E29</f>
        <v/>
      </c>
      <c r="F10" s="19">
        <f>الفرضيات!F29</f>
        <v/>
      </c>
    </row>
    <row r="11">
      <c r="A11" s="20" t="inlineStr">
        <is>
          <t>إجمالي المصاريف</t>
        </is>
      </c>
      <c r="B11" s="21">
        <f>SUM(B7:B10)</f>
        <v/>
      </c>
      <c r="C11" s="21">
        <f>SUM(C7:C10)</f>
        <v/>
      </c>
      <c r="D11" s="21">
        <f>SUM(D7:D10)</f>
        <v/>
      </c>
      <c r="E11" s="21">
        <f>SUM(E7:E10)</f>
        <v/>
      </c>
      <c r="F11" s="21">
        <f>SUM(F7:F10)</f>
        <v/>
      </c>
    </row>
    <row r="13">
      <c r="A13" s="22" t="inlineStr">
        <is>
          <t>صافي الربح / (الخسارة)</t>
        </is>
      </c>
      <c r="B13" s="23">
        <f>B5-B11</f>
        <v/>
      </c>
      <c r="C13" s="23">
        <f>C5-C11</f>
        <v/>
      </c>
      <c r="D13" s="23">
        <f>D5-D11</f>
        <v/>
      </c>
      <c r="E13" s="23">
        <f>E5-E11</f>
        <v/>
      </c>
      <c r="F13" s="23">
        <f>F5-F11</f>
        <v/>
      </c>
    </row>
    <row r="14">
      <c r="A14" s="10" t="inlineStr">
        <is>
          <t>الرصيد التراكمي</t>
        </is>
      </c>
      <c r="B14" s="8">
        <f>B13</f>
        <v/>
      </c>
      <c r="C14" s="24">
        <f>B14+C13</f>
        <v/>
      </c>
      <c r="D14" s="24">
        <f>C14+D13</f>
        <v/>
      </c>
      <c r="E14" s="24">
        <f>D14+E13</f>
        <v/>
      </c>
      <c r="F14" s="24">
        <f>E14+F13</f>
        <v/>
      </c>
    </row>
    <row r="16">
      <c r="A16" s="5" t="inlineStr">
        <is>
          <t>هامش الربح الصافي</t>
        </is>
      </c>
      <c r="B16" s="25">
        <f>IF(B5=0,0,B13/B5)</f>
        <v/>
      </c>
      <c r="C16" s="25">
        <f>IF(C5=0,0,C13/C5)</f>
        <v/>
      </c>
      <c r="D16" s="25">
        <f>IF(D5=0,0,D13/D5)</f>
        <v/>
      </c>
      <c r="E16" s="25">
        <f>IF(E5=0,0,E13/E5)</f>
        <v/>
      </c>
      <c r="F16" s="25">
        <f>IF(F5=0,0,F13/F5)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التحليل المالي — الجدوى والعائد</t>
        </is>
      </c>
    </row>
    <row r="3">
      <c r="A3" s="3" t="inlineStr">
        <is>
          <t>التدفقات النقدية للمستثمر (السنة 0 = ضخ الاستثمار)</t>
        </is>
      </c>
      <c r="B3" s="4" t="n"/>
      <c r="C3" s="4" t="n"/>
      <c r="D3" s="4" t="n"/>
      <c r="E3" s="4" t="n"/>
      <c r="F3" s="4" t="n"/>
      <c r="G3" s="4" t="n"/>
    </row>
    <row r="4">
      <c r="A4" s="12" t="inlineStr">
        <is>
          <t>البند</t>
        </is>
      </c>
      <c r="B4" s="12" t="inlineStr">
        <is>
          <t>السنة 0</t>
        </is>
      </c>
      <c r="C4" s="12" t="inlineStr">
        <is>
          <t>السنة 1</t>
        </is>
      </c>
      <c r="D4" s="12" t="inlineStr">
        <is>
          <t>السنة 2</t>
        </is>
      </c>
      <c r="E4" s="12" t="inlineStr">
        <is>
          <t>السنة 3</t>
        </is>
      </c>
      <c r="F4" s="12" t="inlineStr">
        <is>
          <t>السنة 4</t>
        </is>
      </c>
      <c r="G4" s="12" t="inlineStr">
        <is>
          <t>السنة 5</t>
        </is>
      </c>
    </row>
    <row r="5">
      <c r="A5" s="5" t="inlineStr">
        <is>
          <t>صافي التدفق النقدي</t>
        </is>
      </c>
      <c r="B5" s="8">
        <f>-الفرضيات!B21</f>
        <v/>
      </c>
      <c r="C5" s="8" t="n">
        <v>0</v>
      </c>
      <c r="D5" s="8" t="n">
        <v>0</v>
      </c>
      <c r="E5" s="8">
        <f>النموذج!D13</f>
        <v/>
      </c>
      <c r="F5" s="8">
        <f>النموذج!E13</f>
        <v/>
      </c>
      <c r="G5" s="8">
        <f>النموذج!F13</f>
        <v/>
      </c>
    </row>
    <row r="6">
      <c r="A6" s="10" t="inlineStr">
        <is>
          <t>الرصيد التراكمي</t>
        </is>
      </c>
      <c r="B6" s="8">
        <f>B5</f>
        <v/>
      </c>
      <c r="C6" s="24">
        <f>B6+C5</f>
        <v/>
      </c>
      <c r="D6" s="24">
        <f>C6+D5</f>
        <v/>
      </c>
      <c r="E6" s="24">
        <f>D6+E5</f>
        <v/>
      </c>
      <c r="F6" s="24">
        <f>E6+F5</f>
        <v/>
      </c>
      <c r="G6" s="24">
        <f>F6+G5</f>
        <v/>
      </c>
    </row>
    <row r="8">
      <c r="A8" s="3" t="inlineStr">
        <is>
          <t>مؤشرات الجدوى</t>
        </is>
      </c>
      <c r="B8" s="4" t="n"/>
    </row>
    <row r="9">
      <c r="A9" s="5" t="inlineStr">
        <is>
          <t>صافي القيمة الحالية NPV @ معدل الخصم</t>
        </is>
      </c>
      <c r="B9" s="26">
        <f>B5+NPV(الفرضيات!B22,C5:G5)</f>
        <v/>
      </c>
    </row>
    <row r="10">
      <c r="A10" s="5" t="inlineStr">
        <is>
          <t>معدل العائد الداخلي IRR</t>
        </is>
      </c>
      <c r="B10" s="27">
        <f>IFERROR(IRR(B5:G5),"غير محقق")</f>
        <v/>
      </c>
    </row>
    <row r="11">
      <c r="A11" s="5" t="inlineStr">
        <is>
          <t>فترة الاسترداد (سنة)</t>
        </is>
      </c>
      <c r="B11" s="28">
        <f>3+(-E6)/F5</f>
        <v/>
      </c>
    </row>
    <row r="12">
      <c r="A12" s="5" t="inlineStr">
        <is>
          <t>هامش الربح الصافي — السنة 3</t>
        </is>
      </c>
      <c r="B12" s="29">
        <f>النموذج!D16</f>
        <v/>
      </c>
    </row>
    <row r="13">
      <c r="A13" s="5" t="inlineStr">
        <is>
          <t>هامش الربح الصافي — السنة 5</t>
        </is>
      </c>
      <c r="B13" s="29">
        <f>النموذج!F16</f>
        <v/>
      </c>
    </row>
    <row r="14">
      <c r="A14" s="5" t="inlineStr">
        <is>
          <t>نقطة التعادل التشغيلي</t>
        </is>
      </c>
      <c r="B14" s="30" t="inlineStr">
        <is>
          <t>أوائل السنة 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تحليل الحساسية — 3 سيناريوهات</t>
        </is>
      </c>
    </row>
    <row r="2">
      <c r="A2" s="2" t="inlineStr">
        <is>
          <t>يُطبّق "معامل النمو" على معدلات نمو GMV. المصاريف ثابتة (افتراض متحفّظ).</t>
        </is>
      </c>
    </row>
    <row r="4">
      <c r="A4" s="12" t="inlineStr">
        <is>
          <t>المؤشر</t>
        </is>
      </c>
      <c r="B4" s="12" t="inlineStr">
        <is>
          <t>متحفّظ</t>
        </is>
      </c>
      <c r="C4" s="12" t="inlineStr">
        <is>
          <t>أساسي</t>
        </is>
      </c>
      <c r="D4" s="12" t="inlineStr">
        <is>
          <t>متفائل</t>
        </is>
      </c>
      <c r="E4" s="31" t="inlineStr">
        <is>
          <t>أسوأ حالة</t>
        </is>
      </c>
    </row>
    <row r="5">
      <c r="A5" s="5" t="inlineStr">
        <is>
          <t>معامل النمو</t>
        </is>
      </c>
      <c r="B5" s="32" t="n">
        <v>0.7</v>
      </c>
      <c r="C5" s="32" t="n">
        <v>1</v>
      </c>
      <c r="D5" s="32" t="n">
        <v>1.3</v>
      </c>
      <c r="E5" s="32" t="n">
        <v>0.4</v>
      </c>
    </row>
    <row r="6">
      <c r="A6" s="5" t="inlineStr">
        <is>
          <t>GMV — السنة 1</t>
        </is>
      </c>
      <c r="B6" s="8">
        <f>الفرضيات!$B$7</f>
        <v/>
      </c>
      <c r="C6" s="8">
        <f>الفرضيات!$B$7</f>
        <v/>
      </c>
      <c r="D6" s="8">
        <f>الفرضيات!$B$7</f>
        <v/>
      </c>
      <c r="E6" s="8">
        <f>الفرضيات!$B$7</f>
        <v/>
      </c>
    </row>
    <row r="7">
      <c r="A7" s="5" t="inlineStr">
        <is>
          <t>GMV — السنة 2</t>
        </is>
      </c>
      <c r="B7" s="8">
        <f>B6*(1+الفرضيات!$B$8*B$5)</f>
        <v/>
      </c>
      <c r="C7" s="8">
        <f>C6*(1+الفرضيات!$B$8*C$5)</f>
        <v/>
      </c>
      <c r="D7" s="8">
        <f>D6*(1+الفرضيات!$B$8*D$5)</f>
        <v/>
      </c>
      <c r="E7" s="8">
        <f>E6*(1+الفرضيات!$B$8*E$5)</f>
        <v/>
      </c>
    </row>
    <row r="8">
      <c r="A8" s="5" t="inlineStr">
        <is>
          <t>GMV — السنة 3</t>
        </is>
      </c>
      <c r="B8" s="8">
        <f>B7*(1+الفرضيات!$B$9*B$5)</f>
        <v/>
      </c>
      <c r="C8" s="8">
        <f>C7*(1+الفرضيات!$B$9*C$5)</f>
        <v/>
      </c>
      <c r="D8" s="8">
        <f>D7*(1+الفرضيات!$B$9*D$5)</f>
        <v/>
      </c>
      <c r="E8" s="8">
        <f>E7*(1+الفرضيات!$B$9*E$5)</f>
        <v/>
      </c>
    </row>
    <row r="9">
      <c r="A9" s="5" t="inlineStr">
        <is>
          <t>GMV — السنة 4</t>
        </is>
      </c>
      <c r="B9" s="8">
        <f>B8*(1+الفرضيات!$B$10*B$5)</f>
        <v/>
      </c>
      <c r="C9" s="8">
        <f>C8*(1+الفرضيات!$B$10*C$5)</f>
        <v/>
      </c>
      <c r="D9" s="8">
        <f>D8*(1+الفرضيات!$B$10*D$5)</f>
        <v/>
      </c>
      <c r="E9" s="8">
        <f>E8*(1+الفرضيات!$B$10*E$5)</f>
        <v/>
      </c>
    </row>
    <row r="10">
      <c r="A10" s="5" t="inlineStr">
        <is>
          <t>GMV — السنة 5</t>
        </is>
      </c>
      <c r="B10" s="8">
        <f>B9*(1+الفرضيات!$B$11*B$5)</f>
        <v/>
      </c>
      <c r="C10" s="8">
        <f>C9*(1+الفرضيات!$B$11*C$5)</f>
        <v/>
      </c>
      <c r="D10" s="8">
        <f>D9*(1+الفرضيات!$B$11*D$5)</f>
        <v/>
      </c>
      <c r="E10" s="8">
        <f>E9*(1+الفرضيات!$B$11*E$5)</f>
        <v/>
      </c>
    </row>
    <row r="12">
      <c r="A12" s="5" t="inlineStr">
        <is>
          <t>الإيراد — السنة 1</t>
        </is>
      </c>
      <c r="B12" s="33">
        <f>B6*الفرضيات!$B$17</f>
        <v/>
      </c>
      <c r="C12" s="33">
        <f>C6*الفرضيات!$B$17</f>
        <v/>
      </c>
      <c r="D12" s="33">
        <f>D6*الفرضيات!$B$17</f>
        <v/>
      </c>
      <c r="E12" s="33">
        <f>E6*الفرضيات!$B$17</f>
        <v/>
      </c>
    </row>
    <row r="13">
      <c r="A13" s="5" t="inlineStr">
        <is>
          <t>الإيراد — السنة 2</t>
        </is>
      </c>
      <c r="B13" s="33">
        <f>B7*الفرضيات!$B$17</f>
        <v/>
      </c>
      <c r="C13" s="33">
        <f>C7*الفرضيات!$B$17</f>
        <v/>
      </c>
      <c r="D13" s="33">
        <f>D7*الفرضيات!$B$17</f>
        <v/>
      </c>
      <c r="E13" s="33">
        <f>E7*الفرضيات!$B$17</f>
        <v/>
      </c>
    </row>
    <row r="14">
      <c r="A14" s="5" t="inlineStr">
        <is>
          <t>الإيراد — السنة 3</t>
        </is>
      </c>
      <c r="B14" s="33">
        <f>B8*الفرضيات!$B$17</f>
        <v/>
      </c>
      <c r="C14" s="33">
        <f>C8*الفرضيات!$B$17</f>
        <v/>
      </c>
      <c r="D14" s="33">
        <f>D8*الفرضيات!$B$17</f>
        <v/>
      </c>
      <c r="E14" s="33">
        <f>E8*الفرضيات!$B$17</f>
        <v/>
      </c>
    </row>
    <row r="15">
      <c r="A15" s="5" t="inlineStr">
        <is>
          <t>الإيراد — السنة 4</t>
        </is>
      </c>
      <c r="B15" s="33">
        <f>B9*الفرضيات!$B$17</f>
        <v/>
      </c>
      <c r="C15" s="33">
        <f>C9*الفرضيات!$B$17</f>
        <v/>
      </c>
      <c r="D15" s="33">
        <f>D9*الفرضيات!$B$17</f>
        <v/>
      </c>
      <c r="E15" s="33">
        <f>E9*الفرضيات!$B$17</f>
        <v/>
      </c>
    </row>
    <row r="16">
      <c r="A16" s="5" t="inlineStr">
        <is>
          <t>الإيراد — السنة 5</t>
        </is>
      </c>
      <c r="B16" s="33">
        <f>B10*الفرضيات!$B$17</f>
        <v/>
      </c>
      <c r="C16" s="33">
        <f>C10*الفرضيات!$B$17</f>
        <v/>
      </c>
      <c r="D16" s="33">
        <f>D10*الفرضيات!$B$17</f>
        <v/>
      </c>
      <c r="E16" s="33">
        <f>E10*الفرضيات!$B$17</f>
        <v/>
      </c>
    </row>
    <row r="18">
      <c r="A18" s="5" t="inlineStr">
        <is>
          <t>صافي — السنة 1</t>
        </is>
      </c>
      <c r="B18" s="24">
        <f>B12-الفرضيات!$B$30</f>
        <v/>
      </c>
      <c r="C18" s="24">
        <f>C12-الفرضيات!$B$30</f>
        <v/>
      </c>
      <c r="D18" s="24">
        <f>D12-الفرضيات!$B$30</f>
        <v/>
      </c>
      <c r="E18" s="24">
        <f>E12-الفرضيات!$B$30</f>
        <v/>
      </c>
    </row>
    <row r="19">
      <c r="A19" s="5" t="inlineStr">
        <is>
          <t>صافي — السنة 2</t>
        </is>
      </c>
      <c r="B19" s="24">
        <f>B13-الفرضيات!$C$30</f>
        <v/>
      </c>
      <c r="C19" s="24">
        <f>C13-الفرضيات!$C$30</f>
        <v/>
      </c>
      <c r="D19" s="24">
        <f>D13-الفرضيات!$C$30</f>
        <v/>
      </c>
      <c r="E19" s="24">
        <f>E13-الفرضيات!$C$30</f>
        <v/>
      </c>
    </row>
    <row r="20">
      <c r="A20" s="5" t="inlineStr">
        <is>
          <t>صافي — السنة 3</t>
        </is>
      </c>
      <c r="B20" s="24">
        <f>B14-الفرضيات!$D$30</f>
        <v/>
      </c>
      <c r="C20" s="24">
        <f>C14-الفرضيات!$D$30</f>
        <v/>
      </c>
      <c r="D20" s="24">
        <f>D14-الفرضيات!$D$30</f>
        <v/>
      </c>
      <c r="E20" s="24">
        <f>E14-الفرضيات!$D$30</f>
        <v/>
      </c>
    </row>
    <row r="21">
      <c r="A21" s="5" t="inlineStr">
        <is>
          <t>صافي — السنة 4</t>
        </is>
      </c>
      <c r="B21" s="24">
        <f>B15-الفرضيات!$E$30</f>
        <v/>
      </c>
      <c r="C21" s="24">
        <f>C15-الفرضيات!$E$30</f>
        <v/>
      </c>
      <c r="D21" s="24">
        <f>D15-الفرضيات!$E$30</f>
        <v/>
      </c>
      <c r="E21" s="24">
        <f>E15-الفرضيات!$E$30</f>
        <v/>
      </c>
    </row>
    <row r="22">
      <c r="A22" s="5" t="inlineStr">
        <is>
          <t>صافي — السنة 5</t>
        </is>
      </c>
      <c r="B22" s="24">
        <f>B16-الفرضيات!$F$30</f>
        <v/>
      </c>
      <c r="C22" s="24">
        <f>C16-الفرضيات!$F$30</f>
        <v/>
      </c>
      <c r="D22" s="24">
        <f>D16-الفرضيات!$F$30</f>
        <v/>
      </c>
      <c r="E22" s="24">
        <f>E16-الفرضيات!$F$30</f>
        <v/>
      </c>
    </row>
    <row r="24">
      <c r="A24" s="20" t="inlineStr">
        <is>
          <t>NPV @ معدل الخصم</t>
        </is>
      </c>
      <c r="B24" s="34">
        <f>-الفرضيات!$B$21+NPV(الفرضيات!$B$22,0,0,B20,B21,B22)</f>
        <v/>
      </c>
      <c r="C24" s="34">
        <f>-الفرضيات!$B$21+NPV(الفرضيات!$B$22,0,0,C20,C21,C22)</f>
        <v/>
      </c>
      <c r="D24" s="34">
        <f>-الفرضيات!$B$21+NPV(الفرضيات!$B$22,0,0,D20,D21,D22)</f>
        <v/>
      </c>
      <c r="E24" s="34">
        <f>-الفرضيات!$B$21+NPV(الفرضيات!$B$22,0,0,E20,E21,E22)</f>
        <v/>
      </c>
    </row>
    <row r="25">
      <c r="A25" s="20" t="inlineStr">
        <is>
          <t>معدل العائد الداخلي IRR</t>
        </is>
      </c>
      <c r="B25" s="35">
        <f>IFERROR(IRR(B28:B33),"غير محقق")</f>
        <v/>
      </c>
      <c r="C25" s="35">
        <f>IFERROR(IRR(C28:C33),"غير محقق")</f>
        <v/>
      </c>
      <c r="D25" s="35">
        <f>IFERROR(IRR(D28:D33),"غير محقق")</f>
        <v/>
      </c>
      <c r="E25" s="35">
        <f>IFERROR(IRR(E28:E33),"غير محقق")</f>
        <v/>
      </c>
    </row>
    <row r="27">
      <c r="A27" s="2" t="inlineStr">
        <is>
          <t>التدفقات النقدية للمستثمر (للحساب):</t>
        </is>
      </c>
    </row>
    <row r="28">
      <c r="A28" s="2" t="inlineStr">
        <is>
          <t>السنة 0</t>
        </is>
      </c>
      <c r="B28" s="36">
        <f>-الفرضيات!$B$21</f>
        <v/>
      </c>
      <c r="C28" s="36">
        <f>-الفرضيات!$B$21</f>
        <v/>
      </c>
      <c r="D28" s="36">
        <f>-الفرضيات!$B$21</f>
        <v/>
      </c>
      <c r="E28" s="36">
        <f>-الفرضيات!$B$21</f>
        <v/>
      </c>
    </row>
    <row r="29">
      <c r="A29" s="2" t="inlineStr">
        <is>
          <t>السنة 1</t>
        </is>
      </c>
      <c r="B29" s="36" t="n">
        <v>0</v>
      </c>
      <c r="C29" s="36" t="n">
        <v>0</v>
      </c>
      <c r="D29" s="36" t="n">
        <v>0</v>
      </c>
      <c r="E29" s="36" t="n">
        <v>0</v>
      </c>
    </row>
    <row r="30">
      <c r="A30" s="2" t="inlineStr">
        <is>
          <t>السنة 2</t>
        </is>
      </c>
      <c r="B30" s="36" t="n">
        <v>0</v>
      </c>
      <c r="C30" s="36" t="n">
        <v>0</v>
      </c>
      <c r="D30" s="36" t="n">
        <v>0</v>
      </c>
      <c r="E30" s="36" t="n">
        <v>0</v>
      </c>
    </row>
    <row r="31">
      <c r="A31" s="2" t="inlineStr">
        <is>
          <t>السنة 3</t>
        </is>
      </c>
      <c r="B31" s="36">
        <f>B20</f>
        <v/>
      </c>
      <c r="C31" s="36">
        <f>C20</f>
        <v/>
      </c>
      <c r="D31" s="36">
        <f>D20</f>
        <v/>
      </c>
      <c r="E31" s="36">
        <f>E20</f>
        <v/>
      </c>
    </row>
    <row r="32">
      <c r="A32" s="2" t="inlineStr">
        <is>
          <t>السنة 4</t>
        </is>
      </c>
      <c r="B32" s="36">
        <f>B21</f>
        <v/>
      </c>
      <c r="C32" s="36">
        <f>C21</f>
        <v/>
      </c>
      <c r="D32" s="36">
        <f>D21</f>
        <v/>
      </c>
      <c r="E32" s="36">
        <f>E21</f>
        <v/>
      </c>
    </row>
    <row r="33">
      <c r="A33" s="2" t="inlineStr">
        <is>
          <t>السنة 5</t>
        </is>
      </c>
      <c r="B33" s="36">
        <f>B22</f>
        <v/>
      </c>
      <c r="C33" s="36">
        <f>C22</f>
        <v/>
      </c>
      <c r="D33" s="36">
        <f>D22</f>
        <v/>
      </c>
      <c r="E33" s="36">
        <f>E22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الاقتصاد الوحدوي (Unit Economics)</t>
        </is>
      </c>
    </row>
    <row r="2">
      <c r="A2" s="2" t="inlineStr">
        <is>
          <t>يوضّح ربحية اكتساب كل مستخدم وكل براند — أساس قابلية التوسّع</t>
        </is>
      </c>
    </row>
    <row r="4">
      <c r="A4" s="12" t="inlineStr">
        <is>
          <t>المؤشر</t>
        </is>
      </c>
      <c r="B4" s="12" t="inlineStr">
        <is>
          <t>المستخدم</t>
        </is>
      </c>
      <c r="C4" s="12" t="inlineStr">
        <is>
          <t>البراند</t>
        </is>
      </c>
    </row>
    <row r="5">
      <c r="A5" s="5" t="inlineStr">
        <is>
          <t>عدد الوحدات — السنة 1</t>
        </is>
      </c>
      <c r="B5" s="6" t="n">
        <v>20000</v>
      </c>
      <c r="C5" s="37">
        <f>الفرضيات!B5</f>
        <v/>
      </c>
    </row>
    <row r="6">
      <c r="A6" s="5" t="inlineStr">
        <is>
          <t>تكلفة الاكتساب CAC (ريال)</t>
        </is>
      </c>
      <c r="B6" s="7" t="n">
        <v>20</v>
      </c>
      <c r="C6" s="7" t="n">
        <v>1000</v>
      </c>
    </row>
    <row r="7">
      <c r="A7" s="5" t="inlineStr">
        <is>
          <t>إيراد المنصة لكل وحدة سنوياً (ريال)</t>
        </is>
      </c>
      <c r="B7" s="33">
        <f>النموذج!B5/B5</f>
        <v/>
      </c>
      <c r="C7" s="33">
        <f>الفرضيات!B6*الفرضيات!B17</f>
        <v/>
      </c>
    </row>
    <row r="8">
      <c r="A8" s="5" t="inlineStr">
        <is>
          <t>متوسط بقاء الوحدة (سنوات)</t>
        </is>
      </c>
      <c r="B8" s="38" t="n">
        <v>2.5</v>
      </c>
      <c r="C8" s="38" t="n">
        <v>3</v>
      </c>
    </row>
    <row r="9">
      <c r="A9" s="5" t="inlineStr">
        <is>
          <t>هامش المساهمة</t>
        </is>
      </c>
      <c r="B9" s="9" t="n">
        <v>0.75</v>
      </c>
      <c r="C9" s="9" t="n">
        <v>0.75</v>
      </c>
    </row>
    <row r="10">
      <c r="A10" s="10" t="inlineStr">
        <is>
          <t>القيمة الدائمة LTV (ريال)</t>
        </is>
      </c>
      <c r="B10" s="39">
        <f>B7*B8*B9</f>
        <v/>
      </c>
      <c r="C10" s="39">
        <f>C7*C8*C9</f>
        <v/>
      </c>
    </row>
    <row r="11">
      <c r="A11" s="10" t="inlineStr">
        <is>
          <t>نسبة LTV/CAC</t>
        </is>
      </c>
      <c r="B11" s="40">
        <f>B10/B6</f>
        <v/>
      </c>
      <c r="C11" s="40">
        <f>C10/C6</f>
        <v/>
      </c>
    </row>
    <row r="12"/>
    <row r="13">
      <c r="A13" s="2" t="inlineStr">
        <is>
          <t>قاعدة إبهام: LTV/CAC ≥ 3x تعني اكتساباً صحياً وقابلاً للتوسّع.</t>
        </is>
      </c>
    </row>
    <row r="14">
      <c r="A14" s="41" t="inlineStr">
        <is>
          <t>البراندات هي محرّك الربح الأساسي؛ المستخدمون يُكتسبون بتكلفة منخفضة لتغذية الشبكة.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التوقعات الشهرية — أول 24 شهراً</t>
        </is>
      </c>
    </row>
    <row r="2">
      <c r="A2" s="2" t="inlineStr">
        <is>
          <t>مبنية على منحنى تصاعدي يوازي إجمالي السنة؛ الرصيد الافتتاحي = الاستثمار − التأسيس</t>
        </is>
      </c>
    </row>
    <row r="3">
      <c r="A3" s="5" t="inlineStr">
        <is>
          <t>الرصيد النقدي الافتتاحي</t>
        </is>
      </c>
      <c r="B3" s="42">
        <f>الفرضيات!B21-الفرضيات!B20</f>
        <v/>
      </c>
    </row>
    <row r="5">
      <c r="A5" s="12" t="inlineStr">
        <is>
          <t>الشهر</t>
        </is>
      </c>
      <c r="B5" s="12" t="inlineStr">
        <is>
          <t>GMV</t>
        </is>
      </c>
      <c r="C5" s="12" t="inlineStr">
        <is>
          <t>الإيراد</t>
        </is>
      </c>
      <c r="D5" s="12" t="inlineStr">
        <is>
          <t>المصاريف</t>
        </is>
      </c>
      <c r="E5" s="12" t="inlineStr">
        <is>
          <t>الصافي</t>
        </is>
      </c>
      <c r="F5" s="12" t="inlineStr">
        <is>
          <t>الرصيد النقدي</t>
        </is>
      </c>
    </row>
    <row r="6">
      <c r="A6" s="43" t="inlineStr">
        <is>
          <t>شهر 1</t>
        </is>
      </c>
      <c r="B6" s="8">
        <f>النموذج!$B$4*(1/78)</f>
        <v/>
      </c>
      <c r="C6" s="33">
        <f>B6*الفرضيات!$B$17</f>
        <v/>
      </c>
      <c r="D6" s="8">
        <f>الفرضيات!$B$30/12</f>
        <v/>
      </c>
      <c r="E6" s="24">
        <f>C6-D6</f>
        <v/>
      </c>
      <c r="F6" s="26">
        <f>B3+E6</f>
        <v/>
      </c>
    </row>
    <row r="7">
      <c r="A7" s="43" t="inlineStr">
        <is>
          <t>شهر 2</t>
        </is>
      </c>
      <c r="B7" s="8">
        <f>النموذج!$B$4*(2/78)</f>
        <v/>
      </c>
      <c r="C7" s="33">
        <f>B7*الفرضيات!$B$17</f>
        <v/>
      </c>
      <c r="D7" s="8">
        <f>الفرضيات!$B$30/12</f>
        <v/>
      </c>
      <c r="E7" s="24">
        <f>C7-D7</f>
        <v/>
      </c>
      <c r="F7" s="26">
        <f>F6+E7</f>
        <v/>
      </c>
    </row>
    <row r="8">
      <c r="A8" s="43" t="inlineStr">
        <is>
          <t>شهر 3</t>
        </is>
      </c>
      <c r="B8" s="8">
        <f>النموذج!$B$4*(3/78)</f>
        <v/>
      </c>
      <c r="C8" s="33">
        <f>B8*الفرضيات!$B$17</f>
        <v/>
      </c>
      <c r="D8" s="8">
        <f>الفرضيات!$B$30/12</f>
        <v/>
      </c>
      <c r="E8" s="24">
        <f>C8-D8</f>
        <v/>
      </c>
      <c r="F8" s="26">
        <f>F7+E8</f>
        <v/>
      </c>
    </row>
    <row r="9">
      <c r="A9" s="43" t="inlineStr">
        <is>
          <t>شهر 4</t>
        </is>
      </c>
      <c r="B9" s="8">
        <f>النموذج!$B$4*(4/78)</f>
        <v/>
      </c>
      <c r="C9" s="33">
        <f>B9*الفرضيات!$B$17</f>
        <v/>
      </c>
      <c r="D9" s="8">
        <f>الفرضيات!$B$30/12</f>
        <v/>
      </c>
      <c r="E9" s="24">
        <f>C9-D9</f>
        <v/>
      </c>
      <c r="F9" s="26">
        <f>F8+E9</f>
        <v/>
      </c>
    </row>
    <row r="10">
      <c r="A10" s="43" t="inlineStr">
        <is>
          <t>شهر 5</t>
        </is>
      </c>
      <c r="B10" s="8">
        <f>النموذج!$B$4*(5/78)</f>
        <v/>
      </c>
      <c r="C10" s="33">
        <f>B10*الفرضيات!$B$17</f>
        <v/>
      </c>
      <c r="D10" s="8">
        <f>الفرضيات!$B$30/12</f>
        <v/>
      </c>
      <c r="E10" s="24">
        <f>C10-D10</f>
        <v/>
      </c>
      <c r="F10" s="26">
        <f>F9+E10</f>
        <v/>
      </c>
    </row>
    <row r="11">
      <c r="A11" s="43" t="inlineStr">
        <is>
          <t>شهر 6</t>
        </is>
      </c>
      <c r="B11" s="8">
        <f>النموذج!$B$4*(6/78)</f>
        <v/>
      </c>
      <c r="C11" s="33">
        <f>B11*الفرضيات!$B$17</f>
        <v/>
      </c>
      <c r="D11" s="8">
        <f>الفرضيات!$B$30/12</f>
        <v/>
      </c>
      <c r="E11" s="24">
        <f>C11-D11</f>
        <v/>
      </c>
      <c r="F11" s="26">
        <f>F10+E11</f>
        <v/>
      </c>
    </row>
    <row r="12">
      <c r="A12" s="43" t="inlineStr">
        <is>
          <t>شهر 7</t>
        </is>
      </c>
      <c r="B12" s="8">
        <f>النموذج!$B$4*(7/78)</f>
        <v/>
      </c>
      <c r="C12" s="33">
        <f>B12*الفرضيات!$B$17</f>
        <v/>
      </c>
      <c r="D12" s="8">
        <f>الفرضيات!$B$30/12</f>
        <v/>
      </c>
      <c r="E12" s="24">
        <f>C12-D12</f>
        <v/>
      </c>
      <c r="F12" s="26">
        <f>F11+E12</f>
        <v/>
      </c>
    </row>
    <row r="13">
      <c r="A13" s="43" t="inlineStr">
        <is>
          <t>شهر 8</t>
        </is>
      </c>
      <c r="B13" s="8">
        <f>النموذج!$B$4*(8/78)</f>
        <v/>
      </c>
      <c r="C13" s="33">
        <f>B13*الفرضيات!$B$17</f>
        <v/>
      </c>
      <c r="D13" s="8">
        <f>الفرضيات!$B$30/12</f>
        <v/>
      </c>
      <c r="E13" s="24">
        <f>C13-D13</f>
        <v/>
      </c>
      <c r="F13" s="26">
        <f>F12+E13</f>
        <v/>
      </c>
    </row>
    <row r="14">
      <c r="A14" s="43" t="inlineStr">
        <is>
          <t>شهر 9</t>
        </is>
      </c>
      <c r="B14" s="8">
        <f>النموذج!$B$4*(9/78)</f>
        <v/>
      </c>
      <c r="C14" s="33">
        <f>B14*الفرضيات!$B$17</f>
        <v/>
      </c>
      <c r="D14" s="8">
        <f>الفرضيات!$B$30/12</f>
        <v/>
      </c>
      <c r="E14" s="24">
        <f>C14-D14</f>
        <v/>
      </c>
      <c r="F14" s="26">
        <f>F13+E14</f>
        <v/>
      </c>
    </row>
    <row r="15">
      <c r="A15" s="43" t="inlineStr">
        <is>
          <t>شهر 10</t>
        </is>
      </c>
      <c r="B15" s="8">
        <f>النموذج!$B$4*(10/78)</f>
        <v/>
      </c>
      <c r="C15" s="33">
        <f>B15*الفرضيات!$B$17</f>
        <v/>
      </c>
      <c r="D15" s="8">
        <f>الفرضيات!$B$30/12</f>
        <v/>
      </c>
      <c r="E15" s="24">
        <f>C15-D15</f>
        <v/>
      </c>
      <c r="F15" s="26">
        <f>F14+E15</f>
        <v/>
      </c>
    </row>
    <row r="16">
      <c r="A16" s="43" t="inlineStr">
        <is>
          <t>شهر 11</t>
        </is>
      </c>
      <c r="B16" s="8">
        <f>النموذج!$B$4*(11/78)</f>
        <v/>
      </c>
      <c r="C16" s="33">
        <f>B16*الفرضيات!$B$17</f>
        <v/>
      </c>
      <c r="D16" s="8">
        <f>الفرضيات!$B$30/12</f>
        <v/>
      </c>
      <c r="E16" s="24">
        <f>C16-D16</f>
        <v/>
      </c>
      <c r="F16" s="26">
        <f>F15+E16</f>
        <v/>
      </c>
    </row>
    <row r="17">
      <c r="A17" s="43" t="inlineStr">
        <is>
          <t>شهر 12</t>
        </is>
      </c>
      <c r="B17" s="8">
        <f>النموذج!$B$4*(12/78)</f>
        <v/>
      </c>
      <c r="C17" s="33">
        <f>B17*الفرضيات!$B$17</f>
        <v/>
      </c>
      <c r="D17" s="8">
        <f>الفرضيات!$B$30/12</f>
        <v/>
      </c>
      <c r="E17" s="24">
        <f>C17-D17</f>
        <v/>
      </c>
      <c r="F17" s="26">
        <f>F16+E17</f>
        <v/>
      </c>
    </row>
    <row r="18">
      <c r="A18" s="43" t="inlineStr">
        <is>
          <t>شهر 13</t>
        </is>
      </c>
      <c r="B18" s="8">
        <f>النموذج!$C$4*(1/78)</f>
        <v/>
      </c>
      <c r="C18" s="33">
        <f>B18*الفرضيات!$B$17</f>
        <v/>
      </c>
      <c r="D18" s="8">
        <f>الفرضيات!$C$30/12</f>
        <v/>
      </c>
      <c r="E18" s="24">
        <f>C18-D18</f>
        <v/>
      </c>
      <c r="F18" s="26">
        <f>F17+E18</f>
        <v/>
      </c>
    </row>
    <row r="19">
      <c r="A19" s="43" t="inlineStr">
        <is>
          <t>شهر 14</t>
        </is>
      </c>
      <c r="B19" s="8">
        <f>النموذج!$C$4*(2/78)</f>
        <v/>
      </c>
      <c r="C19" s="33">
        <f>B19*الفرضيات!$B$17</f>
        <v/>
      </c>
      <c r="D19" s="8">
        <f>الفرضيات!$C$30/12</f>
        <v/>
      </c>
      <c r="E19" s="24">
        <f>C19-D19</f>
        <v/>
      </c>
      <c r="F19" s="26">
        <f>F18+E19</f>
        <v/>
      </c>
    </row>
    <row r="20">
      <c r="A20" s="43" t="inlineStr">
        <is>
          <t>شهر 15</t>
        </is>
      </c>
      <c r="B20" s="8">
        <f>النموذج!$C$4*(3/78)</f>
        <v/>
      </c>
      <c r="C20" s="33">
        <f>B20*الفرضيات!$B$17</f>
        <v/>
      </c>
      <c r="D20" s="8">
        <f>الفرضيات!$C$30/12</f>
        <v/>
      </c>
      <c r="E20" s="24">
        <f>C20-D20</f>
        <v/>
      </c>
      <c r="F20" s="26">
        <f>F19+E20</f>
        <v/>
      </c>
    </row>
    <row r="21">
      <c r="A21" s="43" t="inlineStr">
        <is>
          <t>شهر 16</t>
        </is>
      </c>
      <c r="B21" s="8">
        <f>النموذج!$C$4*(4/78)</f>
        <v/>
      </c>
      <c r="C21" s="33">
        <f>B21*الفرضيات!$B$17</f>
        <v/>
      </c>
      <c r="D21" s="8">
        <f>الفرضيات!$C$30/12</f>
        <v/>
      </c>
      <c r="E21" s="24">
        <f>C21-D21</f>
        <v/>
      </c>
      <c r="F21" s="26">
        <f>F20+E21</f>
        <v/>
      </c>
    </row>
    <row r="22">
      <c r="A22" s="43" t="inlineStr">
        <is>
          <t>شهر 17</t>
        </is>
      </c>
      <c r="B22" s="8">
        <f>النموذج!$C$4*(5/78)</f>
        <v/>
      </c>
      <c r="C22" s="33">
        <f>B22*الفرضيات!$B$17</f>
        <v/>
      </c>
      <c r="D22" s="8">
        <f>الفرضيات!$C$30/12</f>
        <v/>
      </c>
      <c r="E22" s="24">
        <f>C22-D22</f>
        <v/>
      </c>
      <c r="F22" s="26">
        <f>F21+E22</f>
        <v/>
      </c>
    </row>
    <row r="23">
      <c r="A23" s="43" t="inlineStr">
        <is>
          <t>شهر 18</t>
        </is>
      </c>
      <c r="B23" s="8">
        <f>النموذج!$C$4*(6/78)</f>
        <v/>
      </c>
      <c r="C23" s="33">
        <f>B23*الفرضيات!$B$17</f>
        <v/>
      </c>
      <c r="D23" s="8">
        <f>الفرضيات!$C$30/12</f>
        <v/>
      </c>
      <c r="E23" s="24">
        <f>C23-D23</f>
        <v/>
      </c>
      <c r="F23" s="26">
        <f>F22+E23</f>
        <v/>
      </c>
    </row>
    <row r="24">
      <c r="A24" s="43" t="inlineStr">
        <is>
          <t>شهر 19</t>
        </is>
      </c>
      <c r="B24" s="8">
        <f>النموذج!$C$4*(7/78)</f>
        <v/>
      </c>
      <c r="C24" s="33">
        <f>B24*الفرضيات!$B$17</f>
        <v/>
      </c>
      <c r="D24" s="8">
        <f>الفرضيات!$C$30/12</f>
        <v/>
      </c>
      <c r="E24" s="24">
        <f>C24-D24</f>
        <v/>
      </c>
      <c r="F24" s="26">
        <f>F23+E24</f>
        <v/>
      </c>
    </row>
    <row r="25">
      <c r="A25" s="43" t="inlineStr">
        <is>
          <t>شهر 20</t>
        </is>
      </c>
      <c r="B25" s="8">
        <f>النموذج!$C$4*(8/78)</f>
        <v/>
      </c>
      <c r="C25" s="33">
        <f>B25*الفرضيات!$B$17</f>
        <v/>
      </c>
      <c r="D25" s="8">
        <f>الفرضيات!$C$30/12</f>
        <v/>
      </c>
      <c r="E25" s="24">
        <f>C25-D25</f>
        <v/>
      </c>
      <c r="F25" s="26">
        <f>F24+E25</f>
        <v/>
      </c>
    </row>
    <row r="26">
      <c r="A26" s="43" t="inlineStr">
        <is>
          <t>شهر 21</t>
        </is>
      </c>
      <c r="B26" s="8">
        <f>النموذج!$C$4*(9/78)</f>
        <v/>
      </c>
      <c r="C26" s="33">
        <f>B26*الفرضيات!$B$17</f>
        <v/>
      </c>
      <c r="D26" s="8">
        <f>الفرضيات!$C$30/12</f>
        <v/>
      </c>
      <c r="E26" s="24">
        <f>C26-D26</f>
        <v/>
      </c>
      <c r="F26" s="26">
        <f>F25+E26</f>
        <v/>
      </c>
    </row>
    <row r="27">
      <c r="A27" s="43" t="inlineStr">
        <is>
          <t>شهر 22</t>
        </is>
      </c>
      <c r="B27" s="8">
        <f>النموذج!$C$4*(10/78)</f>
        <v/>
      </c>
      <c r="C27" s="33">
        <f>B27*الفرضيات!$B$17</f>
        <v/>
      </c>
      <c r="D27" s="8">
        <f>الفرضيات!$C$30/12</f>
        <v/>
      </c>
      <c r="E27" s="24">
        <f>C27-D27</f>
        <v/>
      </c>
      <c r="F27" s="26">
        <f>F26+E27</f>
        <v/>
      </c>
    </row>
    <row r="28">
      <c r="A28" s="43" t="inlineStr">
        <is>
          <t>شهر 23</t>
        </is>
      </c>
      <c r="B28" s="8">
        <f>النموذج!$C$4*(11/78)</f>
        <v/>
      </c>
      <c r="C28" s="33">
        <f>B28*الفرضيات!$B$17</f>
        <v/>
      </c>
      <c r="D28" s="8">
        <f>الفرضيات!$C$30/12</f>
        <v/>
      </c>
      <c r="E28" s="24">
        <f>C28-D28</f>
        <v/>
      </c>
      <c r="F28" s="26">
        <f>F27+E28</f>
        <v/>
      </c>
    </row>
    <row r="29">
      <c r="A29" s="43" t="inlineStr">
        <is>
          <t>شهر 24</t>
        </is>
      </c>
      <c r="B29" s="8">
        <f>النموذج!$C$4*(12/78)</f>
        <v/>
      </c>
      <c r="C29" s="33">
        <f>B29*الفرضيات!$B$17</f>
        <v/>
      </c>
      <c r="D29" s="8">
        <f>الفرضيات!$C$30/12</f>
        <v/>
      </c>
      <c r="E29" s="24">
        <f>C29-D29</f>
        <v/>
      </c>
      <c r="F29" s="26">
        <f>F28+E29</f>
        <v/>
      </c>
    </row>
    <row r="31">
      <c r="A31" s="5" t="inlineStr">
        <is>
          <t>أدنى رصيد نقدي خلال 24 شهراً</t>
        </is>
      </c>
      <c r="B31" s="26">
        <f>MIN(F6:F29)</f>
        <v/>
      </c>
    </row>
    <row r="32">
      <c r="A32" s="5" t="inlineStr">
        <is>
          <t>متوسط الحرق الشهري — السنة 1 (Burn)</t>
        </is>
      </c>
      <c r="B32" s="44">
        <f>AVERAGE(E6:E17)</f>
        <v/>
      </c>
    </row>
    <row r="33">
      <c r="A33" s="5" t="inlineStr">
        <is>
          <t>الرصيد النقدي بنهاية الشهر 24</t>
        </is>
      </c>
      <c r="B33" s="26">
        <f>F29</f>
        <v/>
      </c>
    </row>
    <row r="34">
      <c r="A34" s="2" t="inlineStr">
        <is>
          <t>ملاحظة: بقاء أدنى رصيد موجباً = كفاية الاستثمار حتى الوصول للربحية.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خطة استخدام التمويل والعائد للمستثمر</t>
        </is>
      </c>
    </row>
    <row r="2">
      <c r="A2" s="2" t="inlineStr">
        <is>
          <t>أرقام التقييم والعائد استرشادية وقابلة للتفاوض</t>
        </is>
      </c>
    </row>
    <row r="4">
      <c r="A4" s="3" t="inlineStr">
        <is>
          <t>أولاً: استخدام التمويل (1.2 مليون ريال)</t>
        </is>
      </c>
      <c r="B4" s="4" t="n"/>
    </row>
    <row r="5">
      <c r="A5" s="12" t="inlineStr">
        <is>
          <t>البند</t>
        </is>
      </c>
      <c r="B5" s="12" t="inlineStr">
        <is>
          <t>النسبة</t>
        </is>
      </c>
      <c r="C5" s="12" t="inlineStr">
        <is>
          <t>المبلغ (ريال)</t>
        </is>
      </c>
    </row>
    <row r="6">
      <c r="A6" s="5" t="inlineStr">
        <is>
          <t>التسويق والنمو</t>
        </is>
      </c>
      <c r="B6" s="9" t="n">
        <v>0.4</v>
      </c>
      <c r="C6" s="8">
        <f>B6*الفرضيات!$B$21</f>
        <v/>
      </c>
    </row>
    <row r="7">
      <c r="A7" s="5" t="inlineStr">
        <is>
          <t>الرواتب والفريق</t>
        </is>
      </c>
      <c r="B7" s="9" t="n">
        <v>0.4</v>
      </c>
      <c r="C7" s="8">
        <f>B7*الفرضيات!$B$21</f>
        <v/>
      </c>
    </row>
    <row r="8">
      <c r="A8" s="5" t="inlineStr">
        <is>
          <t>التقنية والبنية والـ SMS</t>
        </is>
      </c>
      <c r="B8" s="9" t="n">
        <v>0.08</v>
      </c>
      <c r="C8" s="8">
        <f>B8*الفرضيات!$B$21</f>
        <v/>
      </c>
    </row>
    <row r="9">
      <c r="A9" s="5" t="inlineStr">
        <is>
          <t>قانوني وتراخيص وإداري</t>
        </is>
      </c>
      <c r="B9" s="9" t="n">
        <v>0.1</v>
      </c>
      <c r="C9" s="8">
        <f>B9*الفرضيات!$B$21</f>
        <v/>
      </c>
    </row>
    <row r="10">
      <c r="A10" s="5" t="inlineStr">
        <is>
          <t>احتياطي نقدي</t>
        </is>
      </c>
      <c r="B10" s="9" t="n">
        <v>0.02</v>
      </c>
      <c r="C10" s="8">
        <f>B10*الفرضيات!$B$21</f>
        <v/>
      </c>
    </row>
    <row r="11">
      <c r="A11" s="20" t="inlineStr">
        <is>
          <t>الإجمالي</t>
        </is>
      </c>
      <c r="B11" s="45">
        <f>SUM(B6:B10)</f>
        <v/>
      </c>
      <c r="C11" s="21">
        <f>SUM(C6:C10)</f>
        <v/>
      </c>
    </row>
    <row r="13">
      <c r="A13" s="3" t="inlineStr">
        <is>
          <t>ثانياً: شروط الاستثمار (استرشادي)</t>
        </is>
      </c>
      <c r="B13" s="4" t="n"/>
    </row>
    <row r="14">
      <c r="A14" s="5" t="inlineStr">
        <is>
          <t>مبلغ الجولة</t>
        </is>
      </c>
      <c r="B14" s="19">
        <f>الفرضيات!B21</f>
        <v/>
      </c>
    </row>
    <row r="15">
      <c r="A15" s="5" t="inlineStr">
        <is>
          <t>حصة المستثمر</t>
        </is>
      </c>
      <c r="B15" s="9" t="n">
        <v>0.22</v>
      </c>
    </row>
    <row r="16">
      <c r="A16" s="5" t="inlineStr">
        <is>
          <t>التقييم بعد الجولة (Post-money)</t>
        </is>
      </c>
      <c r="B16" s="26">
        <f>B14/B15</f>
        <v/>
      </c>
    </row>
    <row r="17">
      <c r="A17" s="5" t="inlineStr">
        <is>
          <t>التقييم قبل الجولة (Pre-money)</t>
        </is>
      </c>
      <c r="B17" s="26">
        <f>B16-B14</f>
        <v/>
      </c>
    </row>
    <row r="18">
      <c r="A18" s="5" t="inlineStr">
        <is>
          <t>حصة المؤسسين</t>
        </is>
      </c>
      <c r="B18" s="29">
        <f>1-B15</f>
        <v/>
      </c>
    </row>
    <row r="20">
      <c r="A20" s="3" t="inlineStr">
        <is>
          <t>ثالثاً: تقدير العائد عند الخروج (السنة 5)</t>
        </is>
      </c>
      <c r="B20" s="4" t="n"/>
    </row>
    <row r="21">
      <c r="A21" s="5" t="inlineStr">
        <is>
          <t>مضاعف التقييم على الإيراد (Revenue Multiple)</t>
        </is>
      </c>
      <c r="B21" s="32" t="n">
        <v>5</v>
      </c>
    </row>
    <row r="22">
      <c r="A22" s="5" t="inlineStr">
        <is>
          <t>إيراد السنة 5</t>
        </is>
      </c>
      <c r="B22" s="19">
        <f>النموذج!F5</f>
        <v/>
      </c>
    </row>
    <row r="23">
      <c r="A23" s="5" t="inlineStr">
        <is>
          <t>قيمة الشركة عند الخروج</t>
        </is>
      </c>
      <c r="B23" s="26">
        <f>B21*B22</f>
        <v/>
      </c>
    </row>
    <row r="24">
      <c r="A24" s="5" t="inlineStr">
        <is>
          <t>حصة المستثمر عند الخروج</t>
        </is>
      </c>
      <c r="B24" s="26">
        <f>B23*B15</f>
        <v/>
      </c>
    </row>
    <row r="25">
      <c r="A25" s="5" t="inlineStr">
        <is>
          <t>مضاعف رأس المال MOIC</t>
        </is>
      </c>
      <c r="B25" s="40">
        <f>B24/B14</f>
        <v/>
      </c>
    </row>
    <row r="26">
      <c r="A26" s="5" t="inlineStr">
        <is>
          <t>معدل العائد السنوي التقريبي على 5 سنوات</t>
        </is>
      </c>
      <c r="B26" s="27">
        <f>(B24/B14)^(1/5)-1</f>
        <v/>
      </c>
    </row>
    <row r="28">
      <c r="A28" s="41" t="inlineStr">
        <is>
          <t>خطة الخروج: استحواذ استراتيجي (مجموعات إعلام/تسويق أو منصة إقليمية)، أو بيع حصص، أو إدراج مستقبلي في السوق الموازية (نمو). الأفق 5–7 سنوات.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2026-07-13T03:41:27Z</dcterms:created>
  <dcterms:modified xsi:type="dcterms:W3CDTF">2026-07-13T03:41:27Z</dcterms:modified>
</cp:coreProperties>
</file>